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1" l="1"/>
  <c r="F18" i="1"/>
  <c r="F17" i="1"/>
  <c r="E16" i="1"/>
  <c r="F16" i="1" s="1"/>
  <c r="F15" i="1"/>
  <c r="F14" i="1"/>
  <c r="F13" i="1"/>
  <c r="C13" i="1"/>
  <c r="C12" i="1"/>
  <c r="F12" i="1" s="1"/>
  <c r="C11" i="1"/>
  <c r="F11" i="1" s="1"/>
  <c r="C10" i="1"/>
  <c r="F10" i="1" s="1"/>
  <c r="C9" i="1"/>
  <c r="F9" i="1" s="1"/>
  <c r="F8" i="1"/>
  <c r="C8" i="1"/>
  <c r="E7" i="1"/>
  <c r="C7" i="1"/>
  <c r="F7" i="1" s="1"/>
  <c r="E6" i="1"/>
  <c r="C6" i="1"/>
  <c r="F6" i="1" s="1"/>
  <c r="F5" i="1"/>
  <c r="E5" i="1"/>
  <c r="C5" i="1"/>
  <c r="F4" i="1"/>
  <c r="E4" i="1"/>
  <c r="C4" i="1"/>
  <c r="E3" i="1"/>
  <c r="C3" i="1"/>
  <c r="F3" i="1" s="1"/>
  <c r="F2" i="1"/>
  <c r="E2" i="1"/>
  <c r="C2" i="1"/>
</calcChain>
</file>

<file path=xl/sharedStrings.xml><?xml version="1.0" encoding="utf-8"?>
<sst xmlns="http://schemas.openxmlformats.org/spreadsheetml/2006/main" count="42" uniqueCount="18">
  <si>
    <t>Sample_id</t>
  </si>
  <si>
    <t>Condition</t>
  </si>
  <si>
    <t>OD600_init</t>
  </si>
  <si>
    <t>OD600_final</t>
  </si>
  <si>
    <t>Time, h</t>
  </si>
  <si>
    <t>RGR2</t>
  </si>
  <si>
    <t>20220720_2</t>
  </si>
  <si>
    <t>Control</t>
  </si>
  <si>
    <t>20220720_3</t>
  </si>
  <si>
    <t>20220720_1</t>
  </si>
  <si>
    <t>20220907_1</t>
  </si>
  <si>
    <t>20220907_2</t>
  </si>
  <si>
    <t>20220907_3</t>
  </si>
  <si>
    <t>20230301_1</t>
  </si>
  <si>
    <t>20230808_0</t>
  </si>
  <si>
    <t>20230810_1</t>
  </si>
  <si>
    <t>20230811_2</t>
  </si>
  <si>
    <t>DLA 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</si>
</sst>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O9" sqref="O9"/>
    </sheetView>
  </sheetViews>
  <sheetFormatPr defaultRowHeight="15" x14ac:dyDescent="0.25"/>
  <cols>
    <col min="1" max="1" width="11" bestFit="1" customWidth="1"/>
    <col min="2" max="2" width="9.7109375" bestFit="1" customWidth="1"/>
    <col min="3" max="3" width="12" bestFit="1" customWidth="1"/>
    <col min="4" max="4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f t="shared" ref="C2:C3" si="0">0.559*2.9/3</f>
        <v>0.54036666666666677</v>
      </c>
      <c r="D2">
        <v>1.5649999999999999</v>
      </c>
      <c r="E2">
        <f t="shared" ref="E2:E3" si="1">13+5/6-9-45/60</f>
        <v>4.0833333333333339</v>
      </c>
      <c r="F2">
        <f t="shared" ref="F2:F19" si="2">(LOG(D2,2)-LOG(C2,2))/E2</f>
        <v>0.37571071088760893</v>
      </c>
    </row>
    <row r="3" spans="1:6" x14ac:dyDescent="0.25">
      <c r="A3" t="s">
        <v>6</v>
      </c>
      <c r="B3" t="s">
        <v>17</v>
      </c>
      <c r="C3">
        <f t="shared" si="0"/>
        <v>0.54036666666666677</v>
      </c>
      <c r="D3">
        <v>0.95700000000000007</v>
      </c>
      <c r="E3">
        <f t="shared" si="1"/>
        <v>4.0833333333333339</v>
      </c>
      <c r="F3">
        <f t="shared" si="2"/>
        <v>0.20193801847929344</v>
      </c>
    </row>
    <row r="4" spans="1:6" x14ac:dyDescent="0.25">
      <c r="A4" t="s">
        <v>8</v>
      </c>
      <c r="B4" t="s">
        <v>7</v>
      </c>
      <c r="C4">
        <f t="shared" ref="C4:C5" si="3">0.611*2.9/3</f>
        <v>0.59063333333333323</v>
      </c>
      <c r="D4">
        <v>1.2130000000000001</v>
      </c>
      <c r="E4">
        <f t="shared" ref="E4:E5" si="4">14+25/60-10-4/6</f>
        <v>3.7499999999999996</v>
      </c>
      <c r="F4">
        <f t="shared" si="2"/>
        <v>0.27686529754206074</v>
      </c>
    </row>
    <row r="5" spans="1:6" x14ac:dyDescent="0.25">
      <c r="A5" t="s">
        <v>8</v>
      </c>
      <c r="B5" t="s">
        <v>17</v>
      </c>
      <c r="C5">
        <f t="shared" si="3"/>
        <v>0.59063333333333323</v>
      </c>
      <c r="D5">
        <v>0.82599999999999985</v>
      </c>
      <c r="E5">
        <f t="shared" si="4"/>
        <v>3.7499999999999996</v>
      </c>
      <c r="F5">
        <f t="shared" si="2"/>
        <v>0.12903440055510995</v>
      </c>
    </row>
    <row r="6" spans="1:6" x14ac:dyDescent="0.25">
      <c r="A6" t="s">
        <v>9</v>
      </c>
      <c r="B6" t="s">
        <v>7</v>
      </c>
      <c r="C6">
        <f t="shared" ref="C6:C7" si="5">0.541*2.9/3</f>
        <v>0.52296666666666669</v>
      </c>
      <c r="D6">
        <v>1.3520000000000001</v>
      </c>
      <c r="E6">
        <f t="shared" ref="E6:E7" si="6">16+47/60-13-9/60</f>
        <v>3.6333333333333351</v>
      </c>
      <c r="F6">
        <f t="shared" si="2"/>
        <v>0.37714795952375635</v>
      </c>
    </row>
    <row r="7" spans="1:6" x14ac:dyDescent="0.25">
      <c r="A7" t="s">
        <v>9</v>
      </c>
      <c r="B7" t="s">
        <v>17</v>
      </c>
      <c r="C7">
        <f t="shared" si="5"/>
        <v>0.52296666666666669</v>
      </c>
      <c r="D7">
        <v>1.1579999999999999</v>
      </c>
      <c r="E7">
        <f t="shared" si="6"/>
        <v>3.6333333333333351</v>
      </c>
      <c r="F7">
        <f t="shared" si="2"/>
        <v>0.31564523522294502</v>
      </c>
    </row>
    <row r="8" spans="1:6" x14ac:dyDescent="0.25">
      <c r="A8" t="s">
        <v>10</v>
      </c>
      <c r="B8" t="s">
        <v>7</v>
      </c>
      <c r="C8">
        <f t="shared" ref="C8:C9" si="7">1.032*1.5/3</f>
        <v>0.51600000000000001</v>
      </c>
      <c r="D8">
        <v>1.2789999999999999</v>
      </c>
      <c r="E8">
        <v>3</v>
      </c>
      <c r="F8">
        <f t="shared" si="2"/>
        <v>0.43652443115279427</v>
      </c>
    </row>
    <row r="9" spans="1:6" x14ac:dyDescent="0.25">
      <c r="A9" t="s">
        <v>10</v>
      </c>
      <c r="B9" t="s">
        <v>17</v>
      </c>
      <c r="C9">
        <f t="shared" si="7"/>
        <v>0.51600000000000001</v>
      </c>
      <c r="D9">
        <v>0.99600000000000011</v>
      </c>
      <c r="E9">
        <v>3</v>
      </c>
      <c r="F9">
        <f t="shared" si="2"/>
        <v>0.31625822554827565</v>
      </c>
    </row>
    <row r="10" spans="1:6" x14ac:dyDescent="0.25">
      <c r="A10" t="s">
        <v>11</v>
      </c>
      <c r="B10" t="s">
        <v>7</v>
      </c>
      <c r="C10">
        <f t="shared" ref="C10:C11" si="8">0.926*1.5/3</f>
        <v>0.46300000000000002</v>
      </c>
      <c r="D10">
        <v>1.524</v>
      </c>
      <c r="E10">
        <v>3</v>
      </c>
      <c r="F10">
        <f t="shared" si="2"/>
        <v>0.57292626807769531</v>
      </c>
    </row>
    <row r="11" spans="1:6" x14ac:dyDescent="0.25">
      <c r="A11" t="s">
        <v>11</v>
      </c>
      <c r="B11" t="s">
        <v>17</v>
      </c>
      <c r="C11">
        <f t="shared" si="8"/>
        <v>0.46300000000000002</v>
      </c>
      <c r="D11">
        <v>1.1130000000000002</v>
      </c>
      <c r="E11">
        <v>3</v>
      </c>
      <c r="F11">
        <f t="shared" si="2"/>
        <v>0.42178983136057441</v>
      </c>
    </row>
    <row r="12" spans="1:6" x14ac:dyDescent="0.25">
      <c r="A12" t="s">
        <v>12</v>
      </c>
      <c r="B12" t="s">
        <v>7</v>
      </c>
      <c r="C12">
        <f t="shared" ref="C12:C13" si="9">0.894*1.5/3</f>
        <v>0.44700000000000001</v>
      </c>
      <c r="D12">
        <v>1.306</v>
      </c>
      <c r="E12">
        <v>3</v>
      </c>
      <c r="F12">
        <f t="shared" si="2"/>
        <v>0.51560272012103769</v>
      </c>
    </row>
    <row r="13" spans="1:6" x14ac:dyDescent="0.25">
      <c r="A13" t="s">
        <v>12</v>
      </c>
      <c r="B13" t="s">
        <v>17</v>
      </c>
      <c r="C13">
        <f t="shared" si="9"/>
        <v>0.44700000000000001</v>
      </c>
      <c r="D13">
        <v>0.9890000000000001</v>
      </c>
      <c r="E13">
        <v>3</v>
      </c>
      <c r="F13">
        <f t="shared" si="2"/>
        <v>0.38189856319193111</v>
      </c>
    </row>
    <row r="14" spans="1:6" x14ac:dyDescent="0.25">
      <c r="A14" t="s">
        <v>13</v>
      </c>
      <c r="B14" t="s">
        <v>7</v>
      </c>
      <c r="C14">
        <v>0.36599999999999999</v>
      </c>
      <c r="D14">
        <v>1.038</v>
      </c>
      <c r="E14">
        <v>3</v>
      </c>
      <c r="F14">
        <f t="shared" si="2"/>
        <v>0.50129696335794616</v>
      </c>
    </row>
    <row r="15" spans="1:6" x14ac:dyDescent="0.25">
      <c r="A15" t="s">
        <v>13</v>
      </c>
      <c r="B15" t="s">
        <v>17</v>
      </c>
      <c r="C15">
        <v>0.45</v>
      </c>
      <c r="D15">
        <v>0.79700000000000004</v>
      </c>
      <c r="E15">
        <v>3</v>
      </c>
      <c r="F15">
        <f t="shared" si="2"/>
        <v>0.27488490759114498</v>
      </c>
    </row>
    <row r="16" spans="1:6" x14ac:dyDescent="0.25">
      <c r="A16" t="s">
        <v>14</v>
      </c>
      <c r="B16" t="s">
        <v>7</v>
      </c>
      <c r="C16">
        <v>0.433</v>
      </c>
      <c r="D16">
        <v>1.0369999999999999</v>
      </c>
      <c r="E16">
        <f>3+35/60</f>
        <v>3.5833333333333335</v>
      </c>
      <c r="F16">
        <f t="shared" si="2"/>
        <v>0.35162147834972113</v>
      </c>
    </row>
    <row r="17" spans="1:6" x14ac:dyDescent="0.25">
      <c r="A17" t="s">
        <v>15</v>
      </c>
      <c r="B17" t="s">
        <v>17</v>
      </c>
      <c r="C17">
        <v>0.46500000000000002</v>
      </c>
      <c r="D17">
        <v>0.96400000000000008</v>
      </c>
      <c r="E17">
        <v>3</v>
      </c>
      <c r="F17">
        <f t="shared" si="2"/>
        <v>0.35060081007818938</v>
      </c>
    </row>
    <row r="18" spans="1:6" x14ac:dyDescent="0.25">
      <c r="A18" t="s">
        <v>15</v>
      </c>
      <c r="B18" t="s">
        <v>7</v>
      </c>
      <c r="C18">
        <v>0.47199999999999998</v>
      </c>
      <c r="D18">
        <v>1.0900000000000001</v>
      </c>
      <c r="E18">
        <v>3</v>
      </c>
      <c r="F18">
        <f t="shared" si="2"/>
        <v>0.40248979010081593</v>
      </c>
    </row>
    <row r="19" spans="1:6" x14ac:dyDescent="0.25">
      <c r="A19" t="s">
        <v>16</v>
      </c>
      <c r="B19" t="s">
        <v>17</v>
      </c>
      <c r="C19">
        <v>0.54400000000000004</v>
      </c>
      <c r="D19">
        <v>0.81399999999999983</v>
      </c>
      <c r="E19">
        <v>3</v>
      </c>
      <c r="F19">
        <f t="shared" si="2"/>
        <v>0.1938073810053024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2025-12-30T07:16:42Z</dcterms:modified>
</cp:coreProperties>
</file>